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192"/>
  </bookViews>
  <sheets>
    <sheet name="Объективная оценка" sheetId="2" r:id="rId1"/>
    <sheet name="Первичная субъективная оценка" sheetId="1" r:id="rId2"/>
    <sheet name="Повторная субъективная оценка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3" l="1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Q7" i="3" l="1"/>
  <c r="E20" i="3"/>
  <c r="Q20" i="3"/>
  <c r="E7" i="3"/>
  <c r="K7" i="3"/>
  <c r="W7" i="3"/>
  <c r="K20" i="3"/>
  <c r="W20" i="3"/>
  <c r="B7" i="3"/>
  <c r="N7" i="3"/>
  <c r="B20" i="3"/>
  <c r="N20" i="3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9" i="1"/>
  <c r="W10" i="1" s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B9" i="1"/>
  <c r="N8" i="3" l="1"/>
  <c r="N21" i="3"/>
  <c r="B21" i="3"/>
  <c r="B8" i="3"/>
  <c r="K26" i="1"/>
  <c r="N26" i="1"/>
  <c r="B26" i="1"/>
  <c r="E26" i="1"/>
  <c r="W26" i="1"/>
  <c r="Q26" i="1"/>
  <c r="K10" i="1"/>
  <c r="E10" i="1"/>
  <c r="B10" i="1"/>
  <c r="Q10" i="1"/>
  <c r="N10" i="1"/>
  <c r="B9" i="3" l="1"/>
  <c r="B22" i="3"/>
  <c r="B27" i="1"/>
  <c r="N27" i="1"/>
  <c r="N11" i="1"/>
  <c r="B11" i="1"/>
  <c r="B28" i="1" l="1"/>
  <c r="B12" i="1"/>
</calcChain>
</file>

<file path=xl/sharedStrings.xml><?xml version="1.0" encoding="utf-8"?>
<sst xmlns="http://schemas.openxmlformats.org/spreadsheetml/2006/main" count="165" uniqueCount="51">
  <si>
    <t>ВОЛКОВСКОЕ ПРАВОСЛАВНОЕ КЛАДБИЩЕ</t>
  </si>
  <si>
    <t>ВОЛКОВСКОЕ ЛЮТЕРАНСКОЕ КЛАДБИЩЕ</t>
  </si>
  <si>
    <t>РАЙОН У МЕТРО ВОЛКОВСКАЯ</t>
  </si>
  <si>
    <t>Защита от транспорта и происшествий</t>
  </si>
  <si>
    <t xml:space="preserve">Защита от преступности и насилия </t>
  </si>
  <si>
    <t>Возможность идти</t>
  </si>
  <si>
    <t>Возможность стоять, проводить время</t>
  </si>
  <si>
    <t>Возможность видеть</t>
  </si>
  <si>
    <t>Возможность разговаривать и слушать</t>
  </si>
  <si>
    <t>Возможность играть и заниматься спортом</t>
  </si>
  <si>
    <t>Возможность наслаждаться погодой</t>
  </si>
  <si>
    <t>Положительные ощущения
(виды, дизайн, водные объекты)</t>
  </si>
  <si>
    <t>Новикова</t>
  </si>
  <si>
    <t>Дубинин</t>
  </si>
  <si>
    <t>Тимосюк</t>
  </si>
  <si>
    <t>Юферева</t>
  </si>
  <si>
    <t>Спиридонова</t>
  </si>
  <si>
    <t>Крушинов</t>
  </si>
  <si>
    <t>ЭКСПЕРТ / КРИТЕРИЙ</t>
  </si>
  <si>
    <t>УЛИЦА КАМЧАТСКАЯ</t>
  </si>
  <si>
    <t xml:space="preserve">Защита от неприятных ощущений </t>
  </si>
  <si>
    <t>Возможность сидеть</t>
  </si>
  <si>
    <t>Масштаб (соразмерность зданий человеку)</t>
  </si>
  <si>
    <t>Волковские кладбища</t>
  </si>
  <si>
    <t>Уровень освещенности</t>
  </si>
  <si>
    <t>Площадь кладбища</t>
  </si>
  <si>
    <t>Ширина аллей</t>
  </si>
  <si>
    <t>Регулярность (наличие) скамеек</t>
  </si>
  <si>
    <t>Регулярность (наличие) урн для мелкого мусора</t>
  </si>
  <si>
    <t>Количество зеленых насаждений</t>
  </si>
  <si>
    <t>Наличие специфических сервисов</t>
  </si>
  <si>
    <t xml:space="preserve">Наличие воды в свободном доступе </t>
  </si>
  <si>
    <t>Район у Волковских кладбищ</t>
  </si>
  <si>
    <t>Распространенность сервисов по типам</t>
  </si>
  <si>
    <t>Остановки общественного транспорта</t>
  </si>
  <si>
    <t>Удаленность станций метро</t>
  </si>
  <si>
    <t>Плотность пассажиропотока на станциях метро</t>
  </si>
  <si>
    <t>Плотность населения</t>
  </si>
  <si>
    <t>Площадь производственной и складской инфраструктуры</t>
  </si>
  <si>
    <t>Количество зеленых зон (кроме кладбищ)</t>
  </si>
  <si>
    <t>итоговые результаты</t>
  </si>
  <si>
    <t>Кучеренко</t>
  </si>
  <si>
    <t>варьируется</t>
  </si>
  <si>
    <t>недостаточно</t>
  </si>
  <si>
    <t>удовлетворительно</t>
  </si>
  <si>
    <t>избыточно</t>
  </si>
  <si>
    <t>достаточно</t>
  </si>
  <si>
    <t>ниже среднего</t>
  </si>
  <si>
    <t>негативный</t>
  </si>
  <si>
    <t xml:space="preserve">4/8 негативные 
4/8 нейтральные 
итоговый результат - </t>
  </si>
  <si>
    <t xml:space="preserve">4/8 негативные 
3/8 позитивные
1/8 нейтральные 
итоговый результат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</si>
</sst>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Bahnschrift Light"/>
      <family val="2"/>
      <charset val="204"/>
    </font>
    <font>
      <sz val="11"/>
      <color theme="1"/>
      <name val="Bahnschrift Light"/>
      <family val="2"/>
      <charset val="204"/>
    </font>
    <font>
      <sz val="11"/>
      <color rgb="FFF0F2EA"/>
      <name val="Bahnschrift Light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0" fillId="0" borderId="0" xfId="0" applyBorder="1"/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3" xfId="0" applyBorder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3" xfId="0" applyNumberFormat="1" applyBorder="1"/>
    <xf numFmtId="0" fontId="2" fillId="0" borderId="0" xfId="0" applyFont="1" applyBorder="1"/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3" borderId="2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4" borderId="2" xfId="0" applyFont="1" applyFill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0F2EA"/>
      <color rgb="FFCCC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I11" sqref="I11"/>
    </sheetView>
  </sheetViews>
  <sheetFormatPr defaultRowHeight="13.8" x14ac:dyDescent="0.25"/>
  <cols>
    <col min="1" max="1" width="56.33203125" style="53" customWidth="1"/>
    <col min="2" max="2" width="21" style="53" customWidth="1"/>
    <col min="3" max="3" width="2.88671875" style="53" customWidth="1"/>
    <col min="4" max="4" width="11.88671875" style="53" customWidth="1"/>
    <col min="5" max="5" width="12.5546875" style="53" customWidth="1"/>
    <col min="6" max="16384" width="8.88671875" style="53"/>
  </cols>
  <sheetData>
    <row r="1" spans="1:8" x14ac:dyDescent="0.25">
      <c r="A1" s="48" t="s">
        <v>23</v>
      </c>
      <c r="B1" s="49"/>
      <c r="C1" s="42"/>
      <c r="D1" s="50" t="s">
        <v>40</v>
      </c>
      <c r="E1" s="51"/>
    </row>
    <row r="2" spans="1:8" ht="14.4" customHeight="1" x14ac:dyDescent="0.25">
      <c r="A2" s="43" t="s">
        <v>24</v>
      </c>
      <c r="B2" s="44" t="s">
        <v>44</v>
      </c>
      <c r="C2" s="42"/>
      <c r="D2" s="52" t="s">
        <v>49</v>
      </c>
      <c r="E2" s="52"/>
    </row>
    <row r="3" spans="1:8" x14ac:dyDescent="0.25">
      <c r="A3" s="43" t="s">
        <v>25</v>
      </c>
      <c r="B3" s="45" t="s">
        <v>45</v>
      </c>
      <c r="C3" s="42"/>
      <c r="D3" s="52"/>
      <c r="E3" s="52"/>
    </row>
    <row r="4" spans="1:8" ht="14.4" customHeight="1" x14ac:dyDescent="0.25">
      <c r="A4" s="43" t="s">
        <v>26</v>
      </c>
      <c r="B4" s="44" t="s">
        <v>42</v>
      </c>
      <c r="C4" s="42"/>
      <c r="D4" s="52"/>
      <c r="E4" s="52"/>
    </row>
    <row r="5" spans="1:8" ht="14.4" customHeight="1" x14ac:dyDescent="0.25">
      <c r="A5" s="43" t="s">
        <v>27</v>
      </c>
      <c r="B5" s="45" t="s">
        <v>43</v>
      </c>
      <c r="C5" s="42"/>
      <c r="D5" s="52"/>
      <c r="E5" s="52"/>
    </row>
    <row r="6" spans="1:8" x14ac:dyDescent="0.25">
      <c r="A6" s="43" t="s">
        <v>28</v>
      </c>
      <c r="B6" s="45" t="s">
        <v>43</v>
      </c>
      <c r="C6" s="42"/>
      <c r="D6" s="52"/>
      <c r="E6" s="52"/>
      <c r="H6" s="22"/>
    </row>
    <row r="7" spans="1:8" x14ac:dyDescent="0.25">
      <c r="A7" s="43" t="s">
        <v>29</v>
      </c>
      <c r="B7" s="45" t="s">
        <v>45</v>
      </c>
      <c r="C7" s="42"/>
      <c r="D7" s="52"/>
      <c r="E7" s="52"/>
    </row>
    <row r="8" spans="1:8" ht="14.4" customHeight="1" x14ac:dyDescent="0.25">
      <c r="A8" s="43" t="s">
        <v>30</v>
      </c>
      <c r="B8" s="44" t="s">
        <v>44</v>
      </c>
      <c r="C8" s="42"/>
      <c r="D8" s="52"/>
      <c r="E8" s="52"/>
    </row>
    <row r="9" spans="1:8" ht="16.2" customHeight="1" x14ac:dyDescent="0.25">
      <c r="A9" s="43" t="s">
        <v>31</v>
      </c>
      <c r="B9" s="44" t="s">
        <v>44</v>
      </c>
      <c r="C9" s="42"/>
      <c r="D9" s="46" t="s">
        <v>48</v>
      </c>
      <c r="E9" s="46"/>
    </row>
    <row r="10" spans="1:8" x14ac:dyDescent="0.25">
      <c r="A10" s="42"/>
      <c r="B10" s="42"/>
      <c r="C10" s="42"/>
      <c r="D10" s="42"/>
      <c r="E10" s="42"/>
    </row>
    <row r="11" spans="1:8" ht="14.4" customHeight="1" x14ac:dyDescent="0.25">
      <c r="A11" s="48" t="s">
        <v>32</v>
      </c>
      <c r="B11" s="49"/>
      <c r="C11" s="42"/>
      <c r="D11" s="52" t="s">
        <v>50</v>
      </c>
      <c r="E11" s="52"/>
    </row>
    <row r="12" spans="1:8" x14ac:dyDescent="0.25">
      <c r="A12" s="43" t="s">
        <v>33</v>
      </c>
      <c r="B12" s="45" t="s">
        <v>43</v>
      </c>
      <c r="C12" s="42"/>
      <c r="D12" s="52"/>
      <c r="E12" s="52"/>
    </row>
    <row r="13" spans="1:8" ht="14.4" customHeight="1" x14ac:dyDescent="0.25">
      <c r="A13" s="43" t="s">
        <v>34</v>
      </c>
      <c r="B13" s="47" t="s">
        <v>46</v>
      </c>
      <c r="C13" s="42"/>
      <c r="D13" s="52"/>
      <c r="E13" s="52"/>
    </row>
    <row r="14" spans="1:8" x14ac:dyDescent="0.25">
      <c r="A14" s="43" t="s">
        <v>35</v>
      </c>
      <c r="B14" s="47" t="s">
        <v>46</v>
      </c>
      <c r="C14" s="42"/>
      <c r="D14" s="52"/>
      <c r="E14" s="52"/>
    </row>
    <row r="15" spans="1:8" x14ac:dyDescent="0.25">
      <c r="A15" s="43" t="s">
        <v>36</v>
      </c>
      <c r="B15" s="47" t="s">
        <v>47</v>
      </c>
      <c r="C15" s="42"/>
      <c r="D15" s="52"/>
      <c r="E15" s="52"/>
    </row>
    <row r="16" spans="1:8" x14ac:dyDescent="0.25">
      <c r="A16" s="43" t="s">
        <v>37</v>
      </c>
      <c r="B16" s="45" t="s">
        <v>47</v>
      </c>
      <c r="C16" s="42"/>
      <c r="D16" s="52"/>
      <c r="E16" s="52"/>
    </row>
    <row r="17" spans="1:5" x14ac:dyDescent="0.25">
      <c r="A17" s="43" t="s">
        <v>38</v>
      </c>
      <c r="B17" s="45" t="s">
        <v>45</v>
      </c>
      <c r="C17" s="42"/>
      <c r="D17" s="52"/>
      <c r="E17" s="52"/>
    </row>
    <row r="18" spans="1:5" ht="14.4" customHeight="1" x14ac:dyDescent="0.25">
      <c r="A18" s="43" t="s">
        <v>39</v>
      </c>
      <c r="B18" s="45" t="s">
        <v>43</v>
      </c>
      <c r="C18" s="42"/>
      <c r="D18" s="52"/>
      <c r="E18" s="52"/>
    </row>
    <row r="19" spans="1:5" x14ac:dyDescent="0.25">
      <c r="A19" s="43" t="s">
        <v>24</v>
      </c>
      <c r="B19" s="44" t="s">
        <v>42</v>
      </c>
      <c r="C19" s="42"/>
      <c r="D19" s="46" t="s">
        <v>48</v>
      </c>
      <c r="E19" s="46"/>
    </row>
    <row r="20" spans="1:5" x14ac:dyDescent="0.25">
      <c r="A20" s="54"/>
      <c r="B20" s="55"/>
    </row>
  </sheetData>
  <mergeCells count="10">
    <mergeCell ref="A1:B1"/>
    <mergeCell ref="A11:B11"/>
    <mergeCell ref="D19:E19"/>
    <mergeCell ref="D9:E9"/>
    <mergeCell ref="D10:E10"/>
    <mergeCell ref="D2:E8"/>
    <mergeCell ref="D11:E18"/>
    <mergeCell ref="D1:E1"/>
    <mergeCell ref="A10:B10"/>
    <mergeCell ref="C1:C19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"/>
  <sheetViews>
    <sheetView topLeftCell="A16" workbookViewId="0">
      <selection activeCell="AD18" sqref="AD18"/>
    </sheetView>
  </sheetViews>
  <sheetFormatPr defaultRowHeight="14.4" x14ac:dyDescent="0.3"/>
  <cols>
    <col min="1" max="1" width="15.5546875" customWidth="1"/>
    <col min="2" max="2" width="5.77734375" style="7" customWidth="1"/>
    <col min="3" max="4" width="5.77734375" customWidth="1"/>
    <col min="5" max="5" width="5.77734375" style="7" customWidth="1"/>
    <col min="6" max="10" width="5.77734375" customWidth="1"/>
    <col min="11" max="11" width="5.77734375" style="7" customWidth="1"/>
    <col min="12" max="13" width="5.77734375" customWidth="1"/>
    <col min="14" max="14" width="5.77734375" style="7" customWidth="1"/>
    <col min="15" max="16" width="5.77734375" customWidth="1"/>
    <col min="17" max="17" width="5.77734375" style="7" customWidth="1"/>
    <col min="18" max="22" width="5.77734375" customWidth="1"/>
    <col min="23" max="23" width="5.77734375" style="7" customWidth="1"/>
    <col min="24" max="25" width="5.77734375" customWidth="1"/>
    <col min="26" max="26" width="5.77734375" style="7" customWidth="1"/>
    <col min="27" max="36" width="5.77734375" customWidth="1"/>
  </cols>
  <sheetData>
    <row r="1" spans="1:37" ht="15" thickBot="1" x14ac:dyDescent="0.35"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23" t="s">
        <v>1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1"/>
    </row>
    <row r="2" spans="1:37" s="2" customFormat="1" ht="213" customHeight="1" thickBot="1" x14ac:dyDescent="0.35">
      <c r="A2" s="4" t="s">
        <v>18</v>
      </c>
      <c r="B2" s="6" t="s">
        <v>3</v>
      </c>
      <c r="C2" s="4" t="s">
        <v>4</v>
      </c>
      <c r="D2" s="4" t="s">
        <v>20</v>
      </c>
      <c r="E2" s="6" t="s">
        <v>5</v>
      </c>
      <c r="F2" s="4" t="s">
        <v>6</v>
      </c>
      <c r="G2" s="3" t="s">
        <v>21</v>
      </c>
      <c r="H2" s="4" t="s">
        <v>7</v>
      </c>
      <c r="I2" s="4" t="s">
        <v>8</v>
      </c>
      <c r="J2" s="4" t="s">
        <v>9</v>
      </c>
      <c r="K2" s="6" t="s">
        <v>22</v>
      </c>
      <c r="L2" s="4" t="s">
        <v>10</v>
      </c>
      <c r="M2" s="3" t="s">
        <v>11</v>
      </c>
      <c r="N2" s="6" t="s">
        <v>3</v>
      </c>
      <c r="O2" s="4" t="s">
        <v>4</v>
      </c>
      <c r="P2" s="4" t="s">
        <v>20</v>
      </c>
      <c r="Q2" s="6" t="s">
        <v>5</v>
      </c>
      <c r="R2" s="4" t="s">
        <v>6</v>
      </c>
      <c r="S2" s="3" t="s">
        <v>21</v>
      </c>
      <c r="T2" s="4" t="s">
        <v>7</v>
      </c>
      <c r="U2" s="4" t="s">
        <v>8</v>
      </c>
      <c r="V2" s="4" t="s">
        <v>9</v>
      </c>
      <c r="W2" s="6" t="s">
        <v>22</v>
      </c>
      <c r="X2" s="4" t="s">
        <v>10</v>
      </c>
      <c r="Y2" s="3" t="s">
        <v>11</v>
      </c>
      <c r="Z2" s="8"/>
    </row>
    <row r="3" spans="1:37" ht="15" thickBot="1" x14ac:dyDescent="0.35">
      <c r="A3" s="9" t="s">
        <v>13</v>
      </c>
      <c r="B3" s="10">
        <v>2</v>
      </c>
      <c r="C3" s="11">
        <v>-1</v>
      </c>
      <c r="D3" s="12">
        <v>0.5</v>
      </c>
      <c r="E3" s="10">
        <v>1</v>
      </c>
      <c r="F3" s="11">
        <v>0.5</v>
      </c>
      <c r="G3" s="11">
        <v>1</v>
      </c>
      <c r="H3" s="11">
        <v>1</v>
      </c>
      <c r="I3" s="11">
        <v>2</v>
      </c>
      <c r="J3" s="12">
        <v>-2</v>
      </c>
      <c r="K3" s="10">
        <v>2</v>
      </c>
      <c r="L3" s="11">
        <v>0.5</v>
      </c>
      <c r="M3" s="12">
        <v>0</v>
      </c>
      <c r="N3" s="10">
        <v>2</v>
      </c>
      <c r="O3" s="11">
        <v>1.5</v>
      </c>
      <c r="P3" s="12">
        <v>-2</v>
      </c>
      <c r="Q3" s="10">
        <v>1</v>
      </c>
      <c r="R3" s="11">
        <v>-1</v>
      </c>
      <c r="S3" s="11">
        <v>0.5</v>
      </c>
      <c r="T3" s="11">
        <v>-1</v>
      </c>
      <c r="U3" s="11">
        <v>1</v>
      </c>
      <c r="V3" s="12">
        <v>-2</v>
      </c>
      <c r="W3" s="10">
        <v>2</v>
      </c>
      <c r="X3" s="11">
        <v>0.5</v>
      </c>
      <c r="Y3" s="12">
        <v>0.5</v>
      </c>
      <c r="Z3" s="5"/>
    </row>
    <row r="4" spans="1:37" ht="15" thickBot="1" x14ac:dyDescent="0.35">
      <c r="A4" s="9" t="s">
        <v>17</v>
      </c>
      <c r="B4" s="13">
        <v>0.5</v>
      </c>
      <c r="C4" s="14">
        <v>1</v>
      </c>
      <c r="D4" s="15">
        <v>-0.5</v>
      </c>
      <c r="E4" s="13">
        <v>0.5</v>
      </c>
      <c r="F4" s="14">
        <v>0</v>
      </c>
      <c r="G4" s="14">
        <v>0.5</v>
      </c>
      <c r="H4" s="14">
        <v>-1</v>
      </c>
      <c r="I4" s="14">
        <v>2</v>
      </c>
      <c r="J4" s="15">
        <v>-2</v>
      </c>
      <c r="K4" s="13">
        <v>0</v>
      </c>
      <c r="L4" s="14">
        <v>2</v>
      </c>
      <c r="M4" s="15">
        <v>-1</v>
      </c>
      <c r="N4" s="13">
        <v>2</v>
      </c>
      <c r="O4" s="14">
        <v>1</v>
      </c>
      <c r="P4" s="15">
        <v>-0.5</v>
      </c>
      <c r="Q4" s="13">
        <v>0.5</v>
      </c>
      <c r="R4" s="14">
        <v>2</v>
      </c>
      <c r="S4" s="14">
        <v>-1.5</v>
      </c>
      <c r="T4" s="14">
        <v>1.5</v>
      </c>
      <c r="U4" s="14">
        <v>2</v>
      </c>
      <c r="V4" s="15">
        <v>-2</v>
      </c>
      <c r="W4" s="13">
        <v>2</v>
      </c>
      <c r="X4" s="14">
        <v>2</v>
      </c>
      <c r="Y4" s="15">
        <v>1.5</v>
      </c>
      <c r="Z4" s="5"/>
    </row>
    <row r="5" spans="1:37" ht="15" thickBot="1" x14ac:dyDescent="0.35">
      <c r="A5" s="9" t="s">
        <v>12</v>
      </c>
      <c r="B5" s="13">
        <v>2</v>
      </c>
      <c r="C5" s="14">
        <v>-0.5</v>
      </c>
      <c r="D5" s="15">
        <v>1</v>
      </c>
      <c r="E5" s="13">
        <v>1</v>
      </c>
      <c r="F5" s="14">
        <v>1</v>
      </c>
      <c r="G5" s="14">
        <v>1</v>
      </c>
      <c r="H5" s="14">
        <v>1.5</v>
      </c>
      <c r="I5" s="14">
        <v>2</v>
      </c>
      <c r="J5" s="15">
        <v>-2</v>
      </c>
      <c r="K5" s="13">
        <v>1.5</v>
      </c>
      <c r="L5" s="14">
        <v>1.5</v>
      </c>
      <c r="M5" s="15">
        <v>-0.5</v>
      </c>
      <c r="N5" s="13">
        <v>2</v>
      </c>
      <c r="O5" s="14">
        <v>0.5</v>
      </c>
      <c r="P5" s="15">
        <v>1.5</v>
      </c>
      <c r="Q5" s="13">
        <v>1.5</v>
      </c>
      <c r="R5" s="14">
        <v>2</v>
      </c>
      <c r="S5" s="14">
        <v>1.5</v>
      </c>
      <c r="T5" s="14">
        <v>1.5</v>
      </c>
      <c r="U5" s="14">
        <v>2</v>
      </c>
      <c r="V5" s="15">
        <v>-2</v>
      </c>
      <c r="W5" s="13">
        <v>1.5</v>
      </c>
      <c r="X5" s="14">
        <v>1.5</v>
      </c>
      <c r="Y5" s="15">
        <v>1.5</v>
      </c>
      <c r="Z5" s="5"/>
    </row>
    <row r="6" spans="1:37" ht="15" thickBot="1" x14ac:dyDescent="0.35">
      <c r="A6" s="9" t="s">
        <v>16</v>
      </c>
      <c r="B6" s="13">
        <v>1.5</v>
      </c>
      <c r="C6" s="14">
        <v>-1</v>
      </c>
      <c r="D6" s="15">
        <v>-1</v>
      </c>
      <c r="E6" s="13">
        <v>1.5</v>
      </c>
      <c r="F6" s="14">
        <v>0.5</v>
      </c>
      <c r="G6" s="14">
        <v>0.5</v>
      </c>
      <c r="H6" s="14">
        <v>1</v>
      </c>
      <c r="I6" s="14">
        <v>2</v>
      </c>
      <c r="J6" s="15">
        <v>-2</v>
      </c>
      <c r="K6" s="13">
        <v>2</v>
      </c>
      <c r="L6" s="14">
        <v>1</v>
      </c>
      <c r="M6" s="15">
        <v>1</v>
      </c>
      <c r="N6" s="13">
        <v>1.5</v>
      </c>
      <c r="O6" s="14">
        <v>-1</v>
      </c>
      <c r="P6" s="15">
        <v>-1</v>
      </c>
      <c r="Q6" s="13">
        <v>1.5</v>
      </c>
      <c r="R6" s="14">
        <v>0.5</v>
      </c>
      <c r="S6" s="14">
        <v>0.5</v>
      </c>
      <c r="T6" s="14">
        <v>1</v>
      </c>
      <c r="U6" s="14">
        <v>2</v>
      </c>
      <c r="V6" s="15">
        <v>-2</v>
      </c>
      <c r="W6" s="13">
        <v>2</v>
      </c>
      <c r="X6" s="14">
        <v>1</v>
      </c>
      <c r="Y6" s="15">
        <v>1</v>
      </c>
      <c r="Z6" s="5"/>
    </row>
    <row r="7" spans="1:37" ht="15" thickBot="1" x14ac:dyDescent="0.35">
      <c r="A7" s="9" t="s">
        <v>14</v>
      </c>
      <c r="B7" s="13">
        <v>2</v>
      </c>
      <c r="C7" s="14">
        <v>2</v>
      </c>
      <c r="D7" s="15">
        <v>0.5</v>
      </c>
      <c r="E7" s="13">
        <v>2</v>
      </c>
      <c r="F7" s="14">
        <v>2</v>
      </c>
      <c r="G7" s="14">
        <v>2</v>
      </c>
      <c r="H7" s="14">
        <v>2</v>
      </c>
      <c r="I7" s="14">
        <v>2</v>
      </c>
      <c r="J7" s="15">
        <v>-1</v>
      </c>
      <c r="K7" s="13">
        <v>2</v>
      </c>
      <c r="L7" s="14">
        <v>2</v>
      </c>
      <c r="M7" s="15">
        <v>1.5</v>
      </c>
      <c r="N7" s="13">
        <v>2</v>
      </c>
      <c r="O7" s="14">
        <v>0.5</v>
      </c>
      <c r="P7" s="15">
        <v>-1</v>
      </c>
      <c r="Q7" s="13">
        <v>1</v>
      </c>
      <c r="R7" s="14">
        <v>1</v>
      </c>
      <c r="S7" s="14">
        <v>1</v>
      </c>
      <c r="T7" s="14">
        <v>2</v>
      </c>
      <c r="U7" s="14">
        <v>2</v>
      </c>
      <c r="V7" s="15">
        <v>-1</v>
      </c>
      <c r="W7" s="13">
        <v>2</v>
      </c>
      <c r="X7" s="14">
        <v>2</v>
      </c>
      <c r="Y7" s="15">
        <v>1</v>
      </c>
      <c r="Z7" s="5"/>
    </row>
    <row r="8" spans="1:37" ht="15" thickBot="1" x14ac:dyDescent="0.35">
      <c r="A8" s="9" t="s">
        <v>15</v>
      </c>
      <c r="B8" s="16">
        <v>2</v>
      </c>
      <c r="C8" s="17">
        <v>1.5</v>
      </c>
      <c r="D8" s="18">
        <v>1</v>
      </c>
      <c r="E8" s="16">
        <v>2</v>
      </c>
      <c r="F8" s="17">
        <v>1</v>
      </c>
      <c r="G8" s="17">
        <v>-2</v>
      </c>
      <c r="H8" s="17">
        <v>0.5</v>
      </c>
      <c r="I8" s="17">
        <v>2</v>
      </c>
      <c r="J8" s="18">
        <v>-2</v>
      </c>
      <c r="K8" s="16">
        <v>2</v>
      </c>
      <c r="L8" s="17">
        <v>0.5</v>
      </c>
      <c r="M8" s="18">
        <v>1</v>
      </c>
      <c r="N8" s="16">
        <v>1.5</v>
      </c>
      <c r="O8" s="17">
        <v>1.5</v>
      </c>
      <c r="P8" s="18">
        <v>1</v>
      </c>
      <c r="Q8" s="16">
        <v>1.5</v>
      </c>
      <c r="R8" s="17">
        <v>1</v>
      </c>
      <c r="S8" s="17">
        <v>2</v>
      </c>
      <c r="T8" s="17">
        <v>2</v>
      </c>
      <c r="U8" s="17">
        <v>2</v>
      </c>
      <c r="V8" s="18">
        <v>-2</v>
      </c>
      <c r="W8" s="16">
        <v>2</v>
      </c>
      <c r="X8" s="17">
        <v>1</v>
      </c>
      <c r="Y8" s="18">
        <v>1</v>
      </c>
      <c r="Z8" s="5"/>
    </row>
    <row r="9" spans="1:37" ht="15" thickBot="1" x14ac:dyDescent="0.35">
      <c r="B9" s="21">
        <f>AVERAGE(B3:B8)</f>
        <v>1.6666666666666667</v>
      </c>
      <c r="C9" s="21">
        <f t="shared" ref="C9:X9" si="0">AVERAGE(C3:C8)</f>
        <v>0.33333333333333331</v>
      </c>
      <c r="D9" s="21">
        <f t="shared" si="0"/>
        <v>0.25</v>
      </c>
      <c r="E9" s="21">
        <f t="shared" si="0"/>
        <v>1.3333333333333333</v>
      </c>
      <c r="F9" s="21">
        <f t="shared" si="0"/>
        <v>0.83333333333333337</v>
      </c>
      <c r="G9" s="21">
        <f t="shared" si="0"/>
        <v>0.5</v>
      </c>
      <c r="H9" s="21">
        <f t="shared" si="0"/>
        <v>0.83333333333333337</v>
      </c>
      <c r="I9" s="21">
        <f t="shared" si="0"/>
        <v>2</v>
      </c>
      <c r="J9" s="21">
        <f t="shared" si="0"/>
        <v>-1.8333333333333333</v>
      </c>
      <c r="K9" s="21">
        <f t="shared" si="0"/>
        <v>1.5833333333333333</v>
      </c>
      <c r="L9" s="21">
        <f t="shared" si="0"/>
        <v>1.25</v>
      </c>
      <c r="M9" s="21">
        <f t="shared" si="0"/>
        <v>0.33333333333333331</v>
      </c>
      <c r="N9" s="21">
        <f t="shared" si="0"/>
        <v>1.8333333333333333</v>
      </c>
      <c r="O9" s="21">
        <f t="shared" si="0"/>
        <v>0.66666666666666663</v>
      </c>
      <c r="P9" s="21">
        <f t="shared" si="0"/>
        <v>-0.33333333333333331</v>
      </c>
      <c r="Q9" s="21">
        <f t="shared" si="0"/>
        <v>1.1666666666666667</v>
      </c>
      <c r="R9" s="21">
        <f t="shared" si="0"/>
        <v>0.91666666666666663</v>
      </c>
      <c r="S9" s="21">
        <f t="shared" si="0"/>
        <v>0.66666666666666663</v>
      </c>
      <c r="T9" s="21">
        <f t="shared" si="0"/>
        <v>1.1666666666666667</v>
      </c>
      <c r="U9" s="21">
        <f t="shared" si="0"/>
        <v>1.8333333333333333</v>
      </c>
      <c r="V9" s="21">
        <f t="shared" si="0"/>
        <v>-1.8333333333333333</v>
      </c>
      <c r="W9" s="21">
        <f t="shared" si="0"/>
        <v>1.9166666666666667</v>
      </c>
      <c r="X9" s="21">
        <f t="shared" si="0"/>
        <v>1.3333333333333333</v>
      </c>
      <c r="Y9" s="21">
        <f>AVERAGE(Y3:Y8)</f>
        <v>1.0833333333333333</v>
      </c>
    </row>
    <row r="10" spans="1:37" ht="15" thickBot="1" x14ac:dyDescent="0.35">
      <c r="B10" s="27">
        <f>AVERAGE(B9:D9)</f>
        <v>0.75</v>
      </c>
      <c r="C10" s="28"/>
      <c r="D10" s="29"/>
      <c r="E10" s="27">
        <f>AVERAGE(E9:J9)</f>
        <v>0.61111111111111116</v>
      </c>
      <c r="F10" s="28"/>
      <c r="G10" s="28"/>
      <c r="H10" s="28"/>
      <c r="I10" s="28"/>
      <c r="J10" s="29"/>
      <c r="K10" s="27">
        <f>AVERAGE(K9:M9)</f>
        <v>1.0555555555555556</v>
      </c>
      <c r="L10" s="28"/>
      <c r="M10" s="29"/>
      <c r="N10" s="27">
        <f>AVERAGE(N9:P9)</f>
        <v>0.72222222222222221</v>
      </c>
      <c r="O10" s="28"/>
      <c r="P10" s="29"/>
      <c r="Q10" s="27">
        <f>AVERAGE(Q9:V9)</f>
        <v>0.65277777777777779</v>
      </c>
      <c r="R10" s="28"/>
      <c r="S10" s="28"/>
      <c r="T10" s="28"/>
      <c r="U10" s="28"/>
      <c r="V10" s="29"/>
      <c r="W10" s="27">
        <f>AVERAGE(W9:Y9)</f>
        <v>1.4444444444444444</v>
      </c>
      <c r="X10" s="28"/>
      <c r="Y10" s="29"/>
    </row>
    <row r="11" spans="1:37" ht="15" thickBot="1" x14ac:dyDescent="0.35">
      <c r="B11" s="30">
        <f>AVERAGE(B10:M10)</f>
        <v>0.80555555555555569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2"/>
      <c r="N11" s="30">
        <f>AVERAGE(N10:Y10)</f>
        <v>0.93981481481481488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2"/>
    </row>
    <row r="12" spans="1:37" ht="15" thickBot="1" x14ac:dyDescent="0.35">
      <c r="B12" s="30">
        <f>AVERAGE(B11:Y11)</f>
        <v>0.87268518518518534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2"/>
    </row>
    <row r="13" spans="1:37" x14ac:dyDescent="0.3"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/>
    </row>
    <row r="14" spans="1:37" x14ac:dyDescent="0.3"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8"/>
    </row>
    <row r="15" spans="1:37" x14ac:dyDescent="0.3">
      <c r="B15" s="36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8"/>
    </row>
    <row r="16" spans="1:37" ht="15" thickBot="1" x14ac:dyDescent="0.35"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1"/>
    </row>
    <row r="17" spans="1:25" ht="15" thickBot="1" x14ac:dyDescent="0.35">
      <c r="B17" s="23" t="s">
        <v>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3" t="s">
        <v>19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5"/>
    </row>
    <row r="18" spans="1:25" ht="212.4" thickBot="1" x14ac:dyDescent="0.35">
      <c r="A18" s="4" t="s">
        <v>18</v>
      </c>
      <c r="B18" s="6" t="s">
        <v>3</v>
      </c>
      <c r="C18" s="4" t="s">
        <v>4</v>
      </c>
      <c r="D18" s="4" t="s">
        <v>20</v>
      </c>
      <c r="E18" s="6" t="s">
        <v>5</v>
      </c>
      <c r="F18" s="4" t="s">
        <v>6</v>
      </c>
      <c r="G18" s="3" t="s">
        <v>21</v>
      </c>
      <c r="H18" s="4" t="s">
        <v>7</v>
      </c>
      <c r="I18" s="4" t="s">
        <v>8</v>
      </c>
      <c r="J18" s="4" t="s">
        <v>9</v>
      </c>
      <c r="K18" s="6" t="s">
        <v>22</v>
      </c>
      <c r="L18" s="4" t="s">
        <v>10</v>
      </c>
      <c r="M18" s="3" t="s">
        <v>11</v>
      </c>
      <c r="N18" s="6" t="s">
        <v>3</v>
      </c>
      <c r="O18" s="4" t="s">
        <v>4</v>
      </c>
      <c r="P18" s="4" t="s">
        <v>20</v>
      </c>
      <c r="Q18" s="6" t="s">
        <v>5</v>
      </c>
      <c r="R18" s="4" t="s">
        <v>6</v>
      </c>
      <c r="S18" s="3" t="s">
        <v>21</v>
      </c>
      <c r="T18" s="4" t="s">
        <v>7</v>
      </c>
      <c r="U18" s="4" t="s">
        <v>8</v>
      </c>
      <c r="V18" s="4" t="s">
        <v>9</v>
      </c>
      <c r="W18" s="6" t="s">
        <v>22</v>
      </c>
      <c r="X18" s="4" t="s">
        <v>10</v>
      </c>
      <c r="Y18" s="3" t="s">
        <v>11</v>
      </c>
    </row>
    <row r="19" spans="1:25" ht="15" thickBot="1" x14ac:dyDescent="0.35">
      <c r="A19" s="9" t="s">
        <v>13</v>
      </c>
      <c r="B19" s="10">
        <v>1</v>
      </c>
      <c r="C19" s="11">
        <v>0.5</v>
      </c>
      <c r="D19" s="12">
        <v>0.5</v>
      </c>
      <c r="E19" s="10">
        <v>1.5</v>
      </c>
      <c r="F19" s="11">
        <v>-2</v>
      </c>
      <c r="G19" s="11">
        <v>-2</v>
      </c>
      <c r="H19" s="11">
        <v>1</v>
      </c>
      <c r="I19" s="11">
        <v>1.5</v>
      </c>
      <c r="J19" s="12">
        <v>0.5</v>
      </c>
      <c r="K19" s="10">
        <v>2</v>
      </c>
      <c r="L19" s="11">
        <v>0.5</v>
      </c>
      <c r="M19" s="12">
        <v>0.5</v>
      </c>
      <c r="N19" s="10">
        <v>-1.5</v>
      </c>
      <c r="O19" s="11">
        <v>-1.5</v>
      </c>
      <c r="P19" s="12">
        <v>-2</v>
      </c>
      <c r="Q19" s="10">
        <v>1.5</v>
      </c>
      <c r="R19" s="11">
        <v>-2</v>
      </c>
      <c r="S19" s="11">
        <v>-2</v>
      </c>
      <c r="T19" s="11">
        <v>-1.5</v>
      </c>
      <c r="U19" s="11">
        <v>-1.5</v>
      </c>
      <c r="V19" s="12">
        <v>-2</v>
      </c>
      <c r="W19" s="10">
        <v>1.5</v>
      </c>
      <c r="X19" s="11">
        <v>-1.5</v>
      </c>
      <c r="Y19" s="12">
        <v>-2</v>
      </c>
    </row>
    <row r="20" spans="1:25" ht="15" thickBot="1" x14ac:dyDescent="0.35">
      <c r="A20" s="9" t="s">
        <v>17</v>
      </c>
      <c r="B20" s="13">
        <v>1.5</v>
      </c>
      <c r="C20" s="14">
        <v>-0.5</v>
      </c>
      <c r="D20" s="15">
        <v>0.5</v>
      </c>
      <c r="E20" s="13">
        <v>1</v>
      </c>
      <c r="F20" s="14">
        <v>-1</v>
      </c>
      <c r="G20" s="14">
        <v>-2</v>
      </c>
      <c r="H20" s="14">
        <v>-0.5</v>
      </c>
      <c r="I20" s="14">
        <v>2</v>
      </c>
      <c r="J20" s="15">
        <v>-2</v>
      </c>
      <c r="K20" s="13">
        <v>2</v>
      </c>
      <c r="L20" s="14">
        <v>1</v>
      </c>
      <c r="M20" s="15">
        <v>-1</v>
      </c>
      <c r="N20" s="13">
        <v>-2</v>
      </c>
      <c r="O20" s="14">
        <v>-1.5</v>
      </c>
      <c r="P20" s="15">
        <v>-2</v>
      </c>
      <c r="Q20" s="13">
        <v>0.5</v>
      </c>
      <c r="R20" s="14">
        <v>-2</v>
      </c>
      <c r="S20" s="19">
        <v>-2</v>
      </c>
      <c r="T20" s="14">
        <v>1</v>
      </c>
      <c r="U20" s="14">
        <v>-2</v>
      </c>
      <c r="V20" s="15">
        <v>-1.5</v>
      </c>
      <c r="W20" s="13">
        <v>0</v>
      </c>
      <c r="X20" s="14">
        <v>0</v>
      </c>
      <c r="Y20" s="15">
        <v>-2</v>
      </c>
    </row>
    <row r="21" spans="1:25" ht="15" thickBot="1" x14ac:dyDescent="0.35">
      <c r="A21" s="9" t="s">
        <v>12</v>
      </c>
      <c r="B21" s="13">
        <v>1.5</v>
      </c>
      <c r="C21" s="14">
        <v>0.5</v>
      </c>
      <c r="D21" s="15">
        <v>0</v>
      </c>
      <c r="E21" s="13">
        <v>1</v>
      </c>
      <c r="F21" s="14">
        <v>-0.5</v>
      </c>
      <c r="G21" s="14">
        <v>-1</v>
      </c>
      <c r="H21" s="14">
        <v>1.5</v>
      </c>
      <c r="I21" s="14">
        <v>1.5</v>
      </c>
      <c r="J21" s="15">
        <v>-1</v>
      </c>
      <c r="K21" s="13">
        <v>1.5</v>
      </c>
      <c r="L21" s="14">
        <v>1.5</v>
      </c>
      <c r="M21" s="15">
        <v>-1</v>
      </c>
      <c r="N21" s="13">
        <v>2</v>
      </c>
      <c r="O21" s="14">
        <v>1.5</v>
      </c>
      <c r="P21" s="15">
        <v>1.5</v>
      </c>
      <c r="Q21" s="13">
        <v>1</v>
      </c>
      <c r="R21" s="14">
        <v>-2</v>
      </c>
      <c r="S21" s="14">
        <v>-2</v>
      </c>
      <c r="T21" s="14">
        <v>-1</v>
      </c>
      <c r="U21" s="14">
        <v>-2</v>
      </c>
      <c r="V21" s="15">
        <v>-2</v>
      </c>
      <c r="W21" s="13">
        <v>1</v>
      </c>
      <c r="X21" s="14">
        <v>-0.5</v>
      </c>
      <c r="Y21" s="15">
        <v>-2</v>
      </c>
    </row>
    <row r="22" spans="1:25" ht="15" thickBot="1" x14ac:dyDescent="0.35">
      <c r="A22" s="9" t="s">
        <v>16</v>
      </c>
      <c r="B22" s="13">
        <v>-1</v>
      </c>
      <c r="C22" s="14">
        <v>-1</v>
      </c>
      <c r="D22" s="15">
        <v>-1</v>
      </c>
      <c r="E22" s="13">
        <v>1</v>
      </c>
      <c r="F22" s="14">
        <v>0.5</v>
      </c>
      <c r="G22" s="14">
        <v>-1</v>
      </c>
      <c r="H22" s="14">
        <v>1</v>
      </c>
      <c r="I22" s="14">
        <v>2</v>
      </c>
      <c r="J22" s="15">
        <v>0.5</v>
      </c>
      <c r="K22" s="13">
        <v>2</v>
      </c>
      <c r="L22" s="14">
        <v>2</v>
      </c>
      <c r="M22" s="15">
        <v>1</v>
      </c>
      <c r="N22" s="13"/>
      <c r="O22" s="14"/>
      <c r="P22" s="15"/>
      <c r="Q22" s="13"/>
      <c r="R22" s="14"/>
      <c r="S22" s="14"/>
      <c r="T22" s="14"/>
      <c r="U22" s="14"/>
      <c r="V22" s="15"/>
      <c r="W22" s="13"/>
      <c r="X22" s="14"/>
      <c r="Y22" s="15"/>
    </row>
    <row r="23" spans="1:25" ht="15" thickBot="1" x14ac:dyDescent="0.35">
      <c r="A23" s="9" t="s">
        <v>14</v>
      </c>
      <c r="B23" s="13">
        <v>1</v>
      </c>
      <c r="C23" s="14">
        <v>1</v>
      </c>
      <c r="D23" s="15">
        <v>1</v>
      </c>
      <c r="E23" s="13">
        <v>1.5</v>
      </c>
      <c r="F23" s="14">
        <v>1</v>
      </c>
      <c r="G23" s="14">
        <v>1</v>
      </c>
      <c r="H23" s="14">
        <v>1.5</v>
      </c>
      <c r="I23" s="14">
        <v>2</v>
      </c>
      <c r="J23" s="15">
        <v>0.5</v>
      </c>
      <c r="K23" s="13">
        <v>2</v>
      </c>
      <c r="L23" s="14">
        <v>2</v>
      </c>
      <c r="M23" s="15">
        <v>1</v>
      </c>
      <c r="N23" s="13">
        <v>-1</v>
      </c>
      <c r="O23" s="14">
        <v>-1</v>
      </c>
      <c r="P23" s="15">
        <v>-0.5</v>
      </c>
      <c r="Q23" s="13">
        <v>-0.5</v>
      </c>
      <c r="R23" s="14">
        <v>-0.5</v>
      </c>
      <c r="S23" s="14">
        <v>0.5</v>
      </c>
      <c r="T23" s="14">
        <v>-0.5</v>
      </c>
      <c r="U23" s="14">
        <v>1</v>
      </c>
      <c r="V23" s="15">
        <v>-1.5</v>
      </c>
      <c r="W23" s="13">
        <v>1</v>
      </c>
      <c r="X23" s="14">
        <v>0.5</v>
      </c>
      <c r="Y23" s="15">
        <v>-1.5</v>
      </c>
    </row>
    <row r="24" spans="1:25" ht="15" thickBot="1" x14ac:dyDescent="0.35">
      <c r="A24" s="9" t="s">
        <v>15</v>
      </c>
      <c r="B24" s="16">
        <v>-0.5</v>
      </c>
      <c r="C24" s="17">
        <v>-0.5</v>
      </c>
      <c r="D24" s="18">
        <v>1</v>
      </c>
      <c r="E24" s="16">
        <v>2</v>
      </c>
      <c r="F24" s="17">
        <v>1</v>
      </c>
      <c r="G24" s="17">
        <v>0.5</v>
      </c>
      <c r="H24" s="17">
        <v>1.5</v>
      </c>
      <c r="I24" s="17">
        <v>1</v>
      </c>
      <c r="J24" s="18">
        <v>-1</v>
      </c>
      <c r="K24" s="16">
        <v>2</v>
      </c>
      <c r="L24" s="17">
        <v>1</v>
      </c>
      <c r="M24" s="18">
        <v>1</v>
      </c>
      <c r="N24" s="16"/>
      <c r="O24" s="17"/>
      <c r="P24" s="18"/>
      <c r="Q24" s="16"/>
      <c r="R24" s="17"/>
      <c r="S24" s="17"/>
      <c r="T24" s="17"/>
      <c r="U24" s="17"/>
      <c r="V24" s="18"/>
      <c r="W24" s="16"/>
      <c r="X24" s="17"/>
      <c r="Y24" s="18"/>
    </row>
    <row r="25" spans="1:25" ht="15" thickBot="1" x14ac:dyDescent="0.35">
      <c r="B25" s="21">
        <f t="shared" ref="B25:Y25" si="1">AVERAGE(B19:B24)</f>
        <v>0.58333333333333337</v>
      </c>
      <c r="C25" s="21">
        <f t="shared" si="1"/>
        <v>0</v>
      </c>
      <c r="D25" s="21">
        <f t="shared" si="1"/>
        <v>0.33333333333333331</v>
      </c>
      <c r="E25" s="21">
        <f t="shared" si="1"/>
        <v>1.3333333333333333</v>
      </c>
      <c r="F25" s="21">
        <f t="shared" si="1"/>
        <v>-0.16666666666666666</v>
      </c>
      <c r="G25" s="21">
        <f t="shared" si="1"/>
        <v>-0.75</v>
      </c>
      <c r="H25" s="21">
        <f t="shared" si="1"/>
        <v>1</v>
      </c>
      <c r="I25" s="21">
        <f t="shared" si="1"/>
        <v>1.6666666666666667</v>
      </c>
      <c r="J25" s="21">
        <f t="shared" si="1"/>
        <v>-0.41666666666666669</v>
      </c>
      <c r="K25" s="21">
        <f t="shared" si="1"/>
        <v>1.9166666666666667</v>
      </c>
      <c r="L25" s="21">
        <f t="shared" si="1"/>
        <v>1.3333333333333333</v>
      </c>
      <c r="M25" s="21">
        <f t="shared" si="1"/>
        <v>0.25</v>
      </c>
      <c r="N25" s="21">
        <f t="shared" si="1"/>
        <v>-0.625</v>
      </c>
      <c r="O25" s="21">
        <f t="shared" si="1"/>
        <v>-0.625</v>
      </c>
      <c r="P25" s="21">
        <f t="shared" si="1"/>
        <v>-0.75</v>
      </c>
      <c r="Q25" s="21">
        <f t="shared" si="1"/>
        <v>0.625</v>
      </c>
      <c r="R25" s="21">
        <f t="shared" si="1"/>
        <v>-1.625</v>
      </c>
      <c r="S25" s="21">
        <f t="shared" si="1"/>
        <v>-1.375</v>
      </c>
      <c r="T25" s="21">
        <f t="shared" si="1"/>
        <v>-0.5</v>
      </c>
      <c r="U25" s="21">
        <f t="shared" si="1"/>
        <v>-1.125</v>
      </c>
      <c r="V25" s="21">
        <f t="shared" si="1"/>
        <v>-1.75</v>
      </c>
      <c r="W25" s="21">
        <f t="shared" si="1"/>
        <v>0.875</v>
      </c>
      <c r="X25" s="21">
        <f t="shared" si="1"/>
        <v>-0.375</v>
      </c>
      <c r="Y25" s="21">
        <f t="shared" si="1"/>
        <v>-1.875</v>
      </c>
    </row>
    <row r="26" spans="1:25" ht="15" thickBot="1" x14ac:dyDescent="0.35">
      <c r="B26" s="27">
        <f>AVERAGE(B25:D25)</f>
        <v>0.30555555555555558</v>
      </c>
      <c r="C26" s="28"/>
      <c r="D26" s="29"/>
      <c r="E26" s="27">
        <f>AVERAGE(E25:J25)</f>
        <v>0.44444444444444442</v>
      </c>
      <c r="F26" s="28"/>
      <c r="G26" s="28"/>
      <c r="H26" s="28"/>
      <c r="I26" s="28"/>
      <c r="J26" s="29"/>
      <c r="K26" s="27">
        <f>AVERAGE(K25:M25)</f>
        <v>1.1666666666666667</v>
      </c>
      <c r="L26" s="28"/>
      <c r="M26" s="29"/>
      <c r="N26" s="27">
        <f>AVERAGE(N25:P25)</f>
        <v>-0.66666666666666663</v>
      </c>
      <c r="O26" s="28"/>
      <c r="P26" s="29"/>
      <c r="Q26" s="27">
        <f>AVERAGE(Q25:V25)</f>
        <v>-0.95833333333333337</v>
      </c>
      <c r="R26" s="28"/>
      <c r="S26" s="28"/>
      <c r="T26" s="28"/>
      <c r="U26" s="28"/>
      <c r="V26" s="29"/>
      <c r="W26" s="27">
        <f>AVERAGE(W25:Y25)</f>
        <v>-0.45833333333333331</v>
      </c>
      <c r="X26" s="28"/>
      <c r="Y26" s="29"/>
    </row>
    <row r="27" spans="1:25" ht="15" thickBot="1" x14ac:dyDescent="0.35">
      <c r="B27" s="30">
        <f>AVERAGE(B26:M26)</f>
        <v>0.63888888888888895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0">
        <f>AVERAGE(N26:Y26)</f>
        <v>-0.69444444444444453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2"/>
    </row>
    <row r="28" spans="1:25" ht="15" thickBot="1" x14ac:dyDescent="0.35">
      <c r="B28" s="30">
        <f>AVERAGE(B27:Y27)</f>
        <v>-2.777777777777779E-2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2"/>
    </row>
    <row r="29" spans="1:25" s="26" customFormat="1" x14ac:dyDescent="0.3"/>
    <row r="30" spans="1:25" s="26" customFormat="1" x14ac:dyDescent="0.3"/>
    <row r="31" spans="1:25" s="26" customFormat="1" x14ac:dyDescent="0.3"/>
    <row r="32" spans="1:25" s="26" customFormat="1" x14ac:dyDescent="0.3"/>
    <row r="33" s="26" customFormat="1" x14ac:dyDescent="0.3"/>
    <row r="34" s="26" customFormat="1" x14ac:dyDescent="0.3"/>
    <row r="35" s="26" customFormat="1" x14ac:dyDescent="0.3"/>
    <row r="36" s="26" customFormat="1" x14ac:dyDescent="0.3"/>
    <row r="37" s="26" customFormat="1" x14ac:dyDescent="0.3"/>
    <row r="38" s="26" customFormat="1" x14ac:dyDescent="0.3"/>
    <row r="39" s="26" customFormat="1" x14ac:dyDescent="0.3"/>
    <row r="40" s="26" customFormat="1" x14ac:dyDescent="0.3"/>
    <row r="41" s="26" customFormat="1" x14ac:dyDescent="0.3"/>
    <row r="42" s="26" customFormat="1" x14ac:dyDescent="0.3"/>
    <row r="43" s="26" customFormat="1" x14ac:dyDescent="0.3"/>
    <row r="44" s="26" customFormat="1" x14ac:dyDescent="0.3"/>
    <row r="45" s="26" customFormat="1" x14ac:dyDescent="0.3"/>
    <row r="46" s="26" customFormat="1" x14ac:dyDescent="0.3"/>
    <row r="47" s="26" customFormat="1" x14ac:dyDescent="0.3"/>
    <row r="48" s="26" customFormat="1" x14ac:dyDescent="0.3"/>
    <row r="49" s="26" customFormat="1" x14ac:dyDescent="0.3"/>
    <row r="50" s="26" customFormat="1" x14ac:dyDescent="0.3"/>
    <row r="51" s="26" customFormat="1" x14ac:dyDescent="0.3"/>
    <row r="52" s="26" customFormat="1" x14ac:dyDescent="0.3"/>
    <row r="53" s="26" customFormat="1" x14ac:dyDescent="0.3"/>
    <row r="54" s="26" customFormat="1" x14ac:dyDescent="0.3"/>
    <row r="55" s="26" customFormat="1" x14ac:dyDescent="0.3"/>
    <row r="56" s="26" customFormat="1" x14ac:dyDescent="0.3"/>
    <row r="57" s="26" customFormat="1" x14ac:dyDescent="0.3"/>
    <row r="58" s="26" customFormat="1" x14ac:dyDescent="0.3"/>
    <row r="59" s="26" customFormat="1" x14ac:dyDescent="0.3"/>
    <row r="60" s="26" customFormat="1" x14ac:dyDescent="0.3"/>
    <row r="61" s="26" customFormat="1" x14ac:dyDescent="0.3"/>
    <row r="62" s="26" customFormat="1" x14ac:dyDescent="0.3"/>
    <row r="63" s="26" customFormat="1" x14ac:dyDescent="0.3"/>
    <row r="64" s="26" customFormat="1" x14ac:dyDescent="0.3"/>
    <row r="65" s="26" customFormat="1" x14ac:dyDescent="0.3"/>
    <row r="66" s="26" customFormat="1" x14ac:dyDescent="0.3"/>
    <row r="67" s="26" customFormat="1" x14ac:dyDescent="0.3"/>
    <row r="68" s="26" customFormat="1" x14ac:dyDescent="0.3"/>
    <row r="69" s="26" customFormat="1" x14ac:dyDescent="0.3"/>
    <row r="70" s="26" customFormat="1" x14ac:dyDescent="0.3"/>
    <row r="71" s="26" customFormat="1" x14ac:dyDescent="0.3"/>
    <row r="72" s="26" customFormat="1" x14ac:dyDescent="0.3"/>
    <row r="73" s="26" customFormat="1" x14ac:dyDescent="0.3"/>
    <row r="74" s="26" customFormat="1" x14ac:dyDescent="0.3"/>
    <row r="75" s="26" customFormat="1" x14ac:dyDescent="0.3"/>
    <row r="76" s="26" customFormat="1" x14ac:dyDescent="0.3"/>
    <row r="77" s="26" customFormat="1" x14ac:dyDescent="0.3"/>
    <row r="78" s="26" customFormat="1" x14ac:dyDescent="0.3"/>
    <row r="79" s="26" customFormat="1" x14ac:dyDescent="0.3"/>
    <row r="80" s="26" customFormat="1" x14ac:dyDescent="0.3"/>
    <row r="81" s="26" customFormat="1" x14ac:dyDescent="0.3"/>
    <row r="82" s="26" customFormat="1" x14ac:dyDescent="0.3"/>
  </sheetData>
  <sortState ref="A3:A8">
    <sortCondition ref="A3"/>
  </sortState>
  <mergeCells count="25">
    <mergeCell ref="A29:XFD82"/>
    <mergeCell ref="B27:M27"/>
    <mergeCell ref="N27:Y27"/>
    <mergeCell ref="B28:Y28"/>
    <mergeCell ref="B26:D26"/>
    <mergeCell ref="E26:J26"/>
    <mergeCell ref="K26:M26"/>
    <mergeCell ref="N26:P26"/>
    <mergeCell ref="Q26:V26"/>
    <mergeCell ref="W26:Y26"/>
    <mergeCell ref="B11:M11"/>
    <mergeCell ref="N11:Y11"/>
    <mergeCell ref="B12:Y12"/>
    <mergeCell ref="B17:M17"/>
    <mergeCell ref="N17:Y17"/>
    <mergeCell ref="B13:Y16"/>
    <mergeCell ref="B1:M1"/>
    <mergeCell ref="N1:Y1"/>
    <mergeCell ref="Z1:AJ1"/>
    <mergeCell ref="B10:D10"/>
    <mergeCell ref="E10:J10"/>
    <mergeCell ref="K10:M10"/>
    <mergeCell ref="N10:P10"/>
    <mergeCell ref="Q10:V10"/>
    <mergeCell ref="W10:Y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6"/>
  <sheetViews>
    <sheetView workbookViewId="0">
      <selection activeCell="K2" sqref="K2"/>
    </sheetView>
  </sheetViews>
  <sheetFormatPr defaultRowHeight="14.4" x14ac:dyDescent="0.3"/>
  <cols>
    <col min="1" max="1" width="15.5546875" customWidth="1"/>
    <col min="2" max="2" width="5.77734375" style="7" customWidth="1"/>
    <col min="3" max="4" width="5.77734375" customWidth="1"/>
    <col min="5" max="5" width="5.77734375" style="7" customWidth="1"/>
    <col min="6" max="10" width="5.77734375" customWidth="1"/>
    <col min="11" max="11" width="5.77734375" style="7" customWidth="1"/>
    <col min="12" max="13" width="5.77734375" customWidth="1"/>
    <col min="14" max="14" width="5.77734375" style="7" customWidth="1"/>
    <col min="15" max="16" width="5.77734375" customWidth="1"/>
    <col min="17" max="17" width="5.77734375" style="7" customWidth="1"/>
    <col min="18" max="22" width="5.77734375" customWidth="1"/>
    <col min="23" max="23" width="5.77734375" style="7" customWidth="1"/>
    <col min="24" max="25" width="5.77734375" customWidth="1"/>
    <col min="26" max="26" width="5.77734375" style="7" customWidth="1"/>
    <col min="27" max="36" width="5.77734375" customWidth="1"/>
  </cols>
  <sheetData>
    <row r="1" spans="1:37" ht="15" thickBot="1" x14ac:dyDescent="0.35"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23" t="s">
        <v>1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0"/>
    </row>
    <row r="2" spans="1:37" s="2" customFormat="1" ht="213" customHeight="1" thickBot="1" x14ac:dyDescent="0.35">
      <c r="A2" s="4" t="s">
        <v>18</v>
      </c>
      <c r="B2" s="6" t="s">
        <v>3</v>
      </c>
      <c r="C2" s="4" t="s">
        <v>4</v>
      </c>
      <c r="D2" s="4" t="s">
        <v>20</v>
      </c>
      <c r="E2" s="6" t="s">
        <v>5</v>
      </c>
      <c r="F2" s="4" t="s">
        <v>6</v>
      </c>
      <c r="G2" s="3" t="s">
        <v>21</v>
      </c>
      <c r="H2" s="4" t="s">
        <v>7</v>
      </c>
      <c r="I2" s="4" t="s">
        <v>8</v>
      </c>
      <c r="J2" s="4" t="s">
        <v>9</v>
      </c>
      <c r="K2" s="6" t="s">
        <v>22</v>
      </c>
      <c r="L2" s="4" t="s">
        <v>10</v>
      </c>
      <c r="M2" s="3" t="s">
        <v>11</v>
      </c>
      <c r="N2" s="6" t="s">
        <v>3</v>
      </c>
      <c r="O2" s="4" t="s">
        <v>4</v>
      </c>
      <c r="P2" s="4" t="s">
        <v>20</v>
      </c>
      <c r="Q2" s="6" t="s">
        <v>5</v>
      </c>
      <c r="R2" s="4" t="s">
        <v>6</v>
      </c>
      <c r="S2" s="3" t="s">
        <v>21</v>
      </c>
      <c r="T2" s="4" t="s">
        <v>7</v>
      </c>
      <c r="U2" s="4" t="s">
        <v>8</v>
      </c>
      <c r="V2" s="4" t="s">
        <v>9</v>
      </c>
      <c r="W2" s="6" t="s">
        <v>22</v>
      </c>
      <c r="X2" s="4" t="s">
        <v>10</v>
      </c>
      <c r="Y2" s="3" t="s">
        <v>11</v>
      </c>
      <c r="Z2" s="8"/>
    </row>
    <row r="3" spans="1:37" ht="15" thickBot="1" x14ac:dyDescent="0.35">
      <c r="A3" s="9" t="s">
        <v>13</v>
      </c>
      <c r="B3" s="10">
        <v>1</v>
      </c>
      <c r="C3" s="11">
        <v>-1.5</v>
      </c>
      <c r="D3" s="12">
        <v>-1.5</v>
      </c>
      <c r="E3" s="10">
        <v>1</v>
      </c>
      <c r="F3" s="11">
        <v>0.5</v>
      </c>
      <c r="G3" s="11">
        <v>-0.5</v>
      </c>
      <c r="H3" s="11">
        <v>1</v>
      </c>
      <c r="I3" s="11">
        <v>1</v>
      </c>
      <c r="J3" s="12">
        <v>-2</v>
      </c>
      <c r="K3" s="10">
        <v>2</v>
      </c>
      <c r="L3" s="11">
        <v>-1</v>
      </c>
      <c r="M3" s="12">
        <v>-0.5</v>
      </c>
      <c r="N3" s="10">
        <v>1</v>
      </c>
      <c r="O3" s="11">
        <v>-1</v>
      </c>
      <c r="P3" s="12">
        <v>-0.5</v>
      </c>
      <c r="Q3" s="10">
        <v>1</v>
      </c>
      <c r="R3" s="11">
        <v>-1</v>
      </c>
      <c r="S3" s="11">
        <v>-0.5</v>
      </c>
      <c r="T3" s="11">
        <f>1</f>
        <v>1</v>
      </c>
      <c r="U3" s="11">
        <v>1.5</v>
      </c>
      <c r="V3" s="12">
        <v>-2</v>
      </c>
      <c r="W3" s="10">
        <v>2</v>
      </c>
      <c r="X3" s="11">
        <v>-1</v>
      </c>
      <c r="Y3" s="12">
        <v>-0.5</v>
      </c>
      <c r="Z3" s="5"/>
    </row>
    <row r="4" spans="1:37" ht="15" thickBot="1" x14ac:dyDescent="0.35">
      <c r="A4" s="9" t="s">
        <v>12</v>
      </c>
      <c r="B4" s="13">
        <v>1</v>
      </c>
      <c r="C4" s="14">
        <v>-2</v>
      </c>
      <c r="D4" s="15">
        <v>-1</v>
      </c>
      <c r="E4" s="13">
        <v>1</v>
      </c>
      <c r="F4" s="14">
        <v>1</v>
      </c>
      <c r="G4" s="14">
        <v>-0.5</v>
      </c>
      <c r="H4" s="14">
        <v>1</v>
      </c>
      <c r="I4" s="14">
        <v>2</v>
      </c>
      <c r="J4" s="15">
        <v>-2</v>
      </c>
      <c r="K4" s="13">
        <v>1.5</v>
      </c>
      <c r="L4" s="14">
        <v>-1</v>
      </c>
      <c r="M4" s="15">
        <v>0.5</v>
      </c>
      <c r="N4" s="13">
        <v>1</v>
      </c>
      <c r="O4" s="14">
        <v>-1.5</v>
      </c>
      <c r="P4" s="15">
        <v>-0.5</v>
      </c>
      <c r="Q4" s="13">
        <v>1.5</v>
      </c>
      <c r="R4" s="14">
        <v>1</v>
      </c>
      <c r="S4" s="14">
        <v>-0.5</v>
      </c>
      <c r="T4" s="14">
        <v>1</v>
      </c>
      <c r="U4" s="14">
        <v>2</v>
      </c>
      <c r="V4" s="15">
        <v>-2</v>
      </c>
      <c r="W4" s="13">
        <v>1.5</v>
      </c>
      <c r="X4" s="14">
        <v>-1</v>
      </c>
      <c r="Y4" s="15">
        <v>0.5</v>
      </c>
      <c r="Z4" s="5"/>
    </row>
    <row r="5" spans="1:37" ht="15" thickBot="1" x14ac:dyDescent="0.35">
      <c r="A5" s="9" t="s">
        <v>41</v>
      </c>
      <c r="B5" s="13">
        <v>0.5</v>
      </c>
      <c r="C5" s="14">
        <v>-1.5</v>
      </c>
      <c r="D5" s="15">
        <v>-1.5</v>
      </c>
      <c r="E5" s="13">
        <v>-0.5</v>
      </c>
      <c r="F5" s="14">
        <v>-0.5</v>
      </c>
      <c r="G5" s="14">
        <v>-1</v>
      </c>
      <c r="H5" s="14">
        <v>0.5</v>
      </c>
      <c r="I5" s="14">
        <v>1.5</v>
      </c>
      <c r="J5" s="15">
        <v>-2</v>
      </c>
      <c r="K5" s="13">
        <v>0</v>
      </c>
      <c r="L5" s="14">
        <v>-1.5</v>
      </c>
      <c r="M5" s="15">
        <v>-1</v>
      </c>
      <c r="N5" s="13">
        <v>1</v>
      </c>
      <c r="O5" s="14">
        <v>-1</v>
      </c>
      <c r="P5" s="15">
        <v>-1.5</v>
      </c>
      <c r="Q5" s="13">
        <v>0.5</v>
      </c>
      <c r="R5" s="14">
        <v>-1</v>
      </c>
      <c r="S5" s="14">
        <v>-0.5</v>
      </c>
      <c r="T5" s="14">
        <v>1</v>
      </c>
      <c r="U5" s="14">
        <v>1</v>
      </c>
      <c r="V5" s="15">
        <v>-2</v>
      </c>
      <c r="W5" s="13">
        <v>1</v>
      </c>
      <c r="X5" s="14">
        <v>-1.5</v>
      </c>
      <c r="Y5" s="15">
        <v>-1</v>
      </c>
      <c r="Z5" s="5"/>
    </row>
    <row r="6" spans="1:37" ht="15" thickBot="1" x14ac:dyDescent="0.35">
      <c r="B6" s="21">
        <f t="shared" ref="B6:Y6" si="0">AVERAGE(B3:B5)</f>
        <v>0.83333333333333337</v>
      </c>
      <c r="C6" s="21">
        <f t="shared" si="0"/>
        <v>-1.6666666666666667</v>
      </c>
      <c r="D6" s="21">
        <f t="shared" si="0"/>
        <v>-1.3333333333333333</v>
      </c>
      <c r="E6" s="21">
        <f t="shared" si="0"/>
        <v>0.5</v>
      </c>
      <c r="F6" s="21">
        <f t="shared" si="0"/>
        <v>0.33333333333333331</v>
      </c>
      <c r="G6" s="21">
        <f t="shared" si="0"/>
        <v>-0.66666666666666663</v>
      </c>
      <c r="H6" s="21">
        <f t="shared" si="0"/>
        <v>0.83333333333333337</v>
      </c>
      <c r="I6" s="21">
        <f t="shared" si="0"/>
        <v>1.5</v>
      </c>
      <c r="J6" s="21">
        <f t="shared" si="0"/>
        <v>-2</v>
      </c>
      <c r="K6" s="21">
        <f t="shared" si="0"/>
        <v>1.1666666666666667</v>
      </c>
      <c r="L6" s="21">
        <f t="shared" si="0"/>
        <v>-1.1666666666666667</v>
      </c>
      <c r="M6" s="21">
        <f t="shared" si="0"/>
        <v>-0.33333333333333331</v>
      </c>
      <c r="N6" s="21">
        <f t="shared" si="0"/>
        <v>1</v>
      </c>
      <c r="O6" s="21">
        <f t="shared" si="0"/>
        <v>-1.1666666666666667</v>
      </c>
      <c r="P6" s="21">
        <f t="shared" si="0"/>
        <v>-0.83333333333333337</v>
      </c>
      <c r="Q6" s="21">
        <f t="shared" si="0"/>
        <v>1</v>
      </c>
      <c r="R6" s="21">
        <f t="shared" si="0"/>
        <v>-0.33333333333333331</v>
      </c>
      <c r="S6" s="21">
        <f t="shared" si="0"/>
        <v>-0.5</v>
      </c>
      <c r="T6" s="21">
        <f t="shared" si="0"/>
        <v>1</v>
      </c>
      <c r="U6" s="21">
        <f t="shared" si="0"/>
        <v>1.5</v>
      </c>
      <c r="V6" s="21">
        <f t="shared" si="0"/>
        <v>-2</v>
      </c>
      <c r="W6" s="21">
        <f t="shared" si="0"/>
        <v>1.5</v>
      </c>
      <c r="X6" s="21">
        <f t="shared" si="0"/>
        <v>-1.1666666666666667</v>
      </c>
      <c r="Y6" s="21">
        <f t="shared" si="0"/>
        <v>-0.33333333333333331</v>
      </c>
    </row>
    <row r="7" spans="1:37" ht="15" thickBot="1" x14ac:dyDescent="0.35">
      <c r="B7" s="27">
        <f>AVERAGE(B6:D6)</f>
        <v>-0.72222222222222221</v>
      </c>
      <c r="C7" s="28"/>
      <c r="D7" s="29"/>
      <c r="E7" s="27">
        <f>AVERAGE(E6:J6)</f>
        <v>8.3333333333333329E-2</v>
      </c>
      <c r="F7" s="28"/>
      <c r="G7" s="28"/>
      <c r="H7" s="28"/>
      <c r="I7" s="28"/>
      <c r="J7" s="29"/>
      <c r="K7" s="27">
        <f>AVERAGE(K6:M6)</f>
        <v>-0.1111111111111111</v>
      </c>
      <c r="L7" s="28"/>
      <c r="M7" s="29"/>
      <c r="N7" s="27">
        <f>AVERAGE(N6:P6)</f>
        <v>-0.33333333333333331</v>
      </c>
      <c r="O7" s="28"/>
      <c r="P7" s="29"/>
      <c r="Q7" s="27">
        <f>AVERAGE(Q6:V6)</f>
        <v>0.11111111111111116</v>
      </c>
      <c r="R7" s="28"/>
      <c r="S7" s="28"/>
      <c r="T7" s="28"/>
      <c r="U7" s="28"/>
      <c r="V7" s="29"/>
      <c r="W7" s="27">
        <f>AVERAGE(W6:Y6)</f>
        <v>0</v>
      </c>
      <c r="X7" s="28"/>
      <c r="Y7" s="29"/>
    </row>
    <row r="8" spans="1:37" ht="15" thickBot="1" x14ac:dyDescent="0.35">
      <c r="B8" s="30">
        <f>AVERAGE(B7:M7)</f>
        <v>-0.25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  <c r="N8" s="30">
        <f>AVERAGE(N7:Y7)</f>
        <v>-7.4074074074074056E-2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2"/>
    </row>
    <row r="9" spans="1:37" ht="15" thickBot="1" x14ac:dyDescent="0.35">
      <c r="B9" s="30">
        <f>AVERAGE(B8:Y8)</f>
        <v>-0.16203703703703703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2"/>
    </row>
    <row r="10" spans="1:37" x14ac:dyDescent="0.3"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/>
    </row>
    <row r="11" spans="1:37" x14ac:dyDescent="0.3"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8"/>
    </row>
    <row r="12" spans="1:37" x14ac:dyDescent="0.3"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8"/>
    </row>
    <row r="13" spans="1:37" ht="15" thickBot="1" x14ac:dyDescent="0.35"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1"/>
    </row>
    <row r="14" spans="1:37" s="7" customFormat="1" ht="15" thickBot="1" x14ac:dyDescent="0.35">
      <c r="A14"/>
      <c r="B14" s="23" t="s">
        <v>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3" t="s">
        <v>19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5"/>
      <c r="AA14"/>
      <c r="AB14"/>
      <c r="AC14"/>
      <c r="AD14"/>
      <c r="AE14"/>
      <c r="AF14"/>
      <c r="AG14"/>
      <c r="AH14"/>
      <c r="AI14"/>
      <c r="AJ14"/>
      <c r="AK14"/>
    </row>
    <row r="15" spans="1:37" s="7" customFormat="1" ht="212.4" thickBot="1" x14ac:dyDescent="0.35">
      <c r="A15" s="4" t="s">
        <v>18</v>
      </c>
      <c r="B15" s="6" t="s">
        <v>3</v>
      </c>
      <c r="C15" s="4" t="s">
        <v>4</v>
      </c>
      <c r="D15" s="4" t="s">
        <v>20</v>
      </c>
      <c r="E15" s="6" t="s">
        <v>5</v>
      </c>
      <c r="F15" s="4" t="s">
        <v>6</v>
      </c>
      <c r="G15" s="3" t="s">
        <v>21</v>
      </c>
      <c r="H15" s="4" t="s">
        <v>7</v>
      </c>
      <c r="I15" s="4" t="s">
        <v>8</v>
      </c>
      <c r="J15" s="4" t="s">
        <v>9</v>
      </c>
      <c r="K15" s="6" t="s">
        <v>22</v>
      </c>
      <c r="L15" s="4" t="s">
        <v>10</v>
      </c>
      <c r="M15" s="3" t="s">
        <v>11</v>
      </c>
      <c r="N15" s="6" t="s">
        <v>3</v>
      </c>
      <c r="O15" s="4" t="s">
        <v>4</v>
      </c>
      <c r="P15" s="4" t="s">
        <v>20</v>
      </c>
      <c r="Q15" s="6" t="s">
        <v>5</v>
      </c>
      <c r="R15" s="4" t="s">
        <v>6</v>
      </c>
      <c r="S15" s="3" t="s">
        <v>21</v>
      </c>
      <c r="T15" s="4" t="s">
        <v>7</v>
      </c>
      <c r="U15" s="4" t="s">
        <v>8</v>
      </c>
      <c r="V15" s="4" t="s">
        <v>9</v>
      </c>
      <c r="W15" s="6" t="s">
        <v>22</v>
      </c>
      <c r="X15" s="4" t="s">
        <v>10</v>
      </c>
      <c r="Y15" s="3" t="s">
        <v>11</v>
      </c>
      <c r="AA15"/>
      <c r="AB15"/>
      <c r="AC15"/>
      <c r="AD15"/>
      <c r="AE15"/>
      <c r="AF15"/>
      <c r="AG15"/>
      <c r="AH15"/>
      <c r="AI15"/>
      <c r="AJ15"/>
      <c r="AK15"/>
    </row>
    <row r="16" spans="1:37" s="7" customFormat="1" ht="15" thickBot="1" x14ac:dyDescent="0.35">
      <c r="A16" s="9" t="s">
        <v>13</v>
      </c>
      <c r="B16" s="10">
        <v>1</v>
      </c>
      <c r="C16" s="11">
        <v>-0.5</v>
      </c>
      <c r="D16" s="12">
        <v>-0.5</v>
      </c>
      <c r="E16" s="10">
        <v>1.5</v>
      </c>
      <c r="F16" s="11">
        <v>-1.5</v>
      </c>
      <c r="G16" s="11">
        <v>-2</v>
      </c>
      <c r="H16" s="11">
        <v>1</v>
      </c>
      <c r="I16" s="11">
        <v>-0.5</v>
      </c>
      <c r="J16" s="12">
        <v>0.5</v>
      </c>
      <c r="K16" s="10">
        <v>2</v>
      </c>
      <c r="L16" s="11">
        <v>-0.5</v>
      </c>
      <c r="M16" s="12">
        <v>0.5</v>
      </c>
      <c r="N16" s="10">
        <v>-1.5</v>
      </c>
      <c r="O16" s="11">
        <v>-1.5</v>
      </c>
      <c r="P16" s="12">
        <v>-2</v>
      </c>
      <c r="Q16" s="10">
        <v>1.5</v>
      </c>
      <c r="R16" s="11">
        <v>-2</v>
      </c>
      <c r="S16" s="11">
        <v>-2</v>
      </c>
      <c r="T16" s="11">
        <v>-1.5</v>
      </c>
      <c r="U16" s="11">
        <v>-1.5</v>
      </c>
      <c r="V16" s="12">
        <v>-2</v>
      </c>
      <c r="W16" s="10">
        <v>1.5</v>
      </c>
      <c r="X16" s="11">
        <v>-1.5</v>
      </c>
      <c r="Y16" s="12">
        <v>-2</v>
      </c>
      <c r="AA16"/>
      <c r="AB16"/>
      <c r="AC16"/>
      <c r="AD16"/>
      <c r="AE16"/>
      <c r="AF16"/>
      <c r="AG16"/>
      <c r="AH16"/>
      <c r="AI16"/>
      <c r="AJ16"/>
      <c r="AK16"/>
    </row>
    <row r="17" spans="1:37" s="7" customFormat="1" ht="15" thickBot="1" x14ac:dyDescent="0.35">
      <c r="A17" s="9" t="s">
        <v>12</v>
      </c>
      <c r="B17" s="13">
        <v>-0.5</v>
      </c>
      <c r="C17" s="14">
        <v>-0.5</v>
      </c>
      <c r="D17" s="15">
        <v>-1</v>
      </c>
      <c r="E17" s="13">
        <v>-1</v>
      </c>
      <c r="F17" s="14">
        <v>-0.5</v>
      </c>
      <c r="G17" s="14">
        <v>-1</v>
      </c>
      <c r="H17" s="14">
        <v>1</v>
      </c>
      <c r="I17" s="14">
        <v>0.5</v>
      </c>
      <c r="J17" s="15">
        <v>-1</v>
      </c>
      <c r="K17" s="13">
        <v>1.5</v>
      </c>
      <c r="L17" s="14">
        <v>0</v>
      </c>
      <c r="M17" s="15">
        <v>1</v>
      </c>
      <c r="N17" s="13">
        <v>-2</v>
      </c>
      <c r="O17" s="14">
        <v>-1.5</v>
      </c>
      <c r="P17" s="15">
        <v>-1.5</v>
      </c>
      <c r="Q17" s="13">
        <v>1</v>
      </c>
      <c r="R17" s="14">
        <v>-2</v>
      </c>
      <c r="S17" s="14">
        <v>-2</v>
      </c>
      <c r="T17" s="14">
        <v>-1</v>
      </c>
      <c r="U17" s="14">
        <v>-2</v>
      </c>
      <c r="V17" s="15">
        <v>-2</v>
      </c>
      <c r="W17" s="13">
        <v>1</v>
      </c>
      <c r="X17" s="14">
        <v>-0.5</v>
      </c>
      <c r="Y17" s="15">
        <v>-2</v>
      </c>
      <c r="AA17"/>
      <c r="AB17"/>
      <c r="AC17"/>
      <c r="AD17"/>
      <c r="AE17"/>
      <c r="AF17"/>
      <c r="AG17"/>
      <c r="AH17"/>
      <c r="AI17"/>
      <c r="AJ17"/>
      <c r="AK17"/>
    </row>
    <row r="18" spans="1:37" s="7" customFormat="1" ht="15" thickBot="1" x14ac:dyDescent="0.35">
      <c r="A18" s="9" t="s">
        <v>41</v>
      </c>
      <c r="B18" s="13">
        <v>-1</v>
      </c>
      <c r="C18" s="14">
        <v>-1</v>
      </c>
      <c r="D18" s="15">
        <v>-1</v>
      </c>
      <c r="E18" s="13">
        <v>1</v>
      </c>
      <c r="F18" s="14">
        <v>0.5</v>
      </c>
      <c r="G18" s="14">
        <v>-1.5</v>
      </c>
      <c r="H18" s="14">
        <v>0.5</v>
      </c>
      <c r="I18" s="14">
        <v>1</v>
      </c>
      <c r="J18" s="15">
        <v>-1.5</v>
      </c>
      <c r="K18" s="13">
        <v>2</v>
      </c>
      <c r="L18" s="14">
        <v>-1</v>
      </c>
      <c r="M18" s="15">
        <v>1</v>
      </c>
      <c r="N18" s="13">
        <v>-1.5</v>
      </c>
      <c r="O18" s="14">
        <v>-1.5</v>
      </c>
      <c r="P18" s="15">
        <v>-1.5</v>
      </c>
      <c r="Q18" s="13">
        <v>1</v>
      </c>
      <c r="R18" s="14">
        <v>-1</v>
      </c>
      <c r="S18" s="14">
        <v>-2</v>
      </c>
      <c r="T18" s="14">
        <v>-0.5</v>
      </c>
      <c r="U18" s="14">
        <v>-2</v>
      </c>
      <c r="V18" s="15">
        <v>-2</v>
      </c>
      <c r="W18" s="13">
        <v>1.5</v>
      </c>
      <c r="X18" s="14">
        <v>-2</v>
      </c>
      <c r="Y18" s="15">
        <v>-2</v>
      </c>
      <c r="AA18"/>
      <c r="AB18"/>
      <c r="AC18"/>
      <c r="AD18"/>
      <c r="AE18"/>
      <c r="AF18"/>
      <c r="AG18"/>
      <c r="AH18"/>
      <c r="AI18"/>
      <c r="AJ18"/>
      <c r="AK18"/>
    </row>
    <row r="19" spans="1:37" s="7" customFormat="1" ht="15" thickBot="1" x14ac:dyDescent="0.35">
      <c r="A19"/>
      <c r="B19" s="21">
        <f t="shared" ref="B19:Y19" si="1">AVERAGE(B16:B18)</f>
        <v>-0.16666666666666666</v>
      </c>
      <c r="C19" s="21">
        <f t="shared" si="1"/>
        <v>-0.66666666666666663</v>
      </c>
      <c r="D19" s="21">
        <f t="shared" si="1"/>
        <v>-0.83333333333333337</v>
      </c>
      <c r="E19" s="21">
        <f t="shared" si="1"/>
        <v>0.5</v>
      </c>
      <c r="F19" s="21">
        <f t="shared" si="1"/>
        <v>-0.5</v>
      </c>
      <c r="G19" s="21">
        <f t="shared" si="1"/>
        <v>-1.5</v>
      </c>
      <c r="H19" s="21">
        <f t="shared" si="1"/>
        <v>0.83333333333333337</v>
      </c>
      <c r="I19" s="21">
        <f t="shared" si="1"/>
        <v>0.33333333333333331</v>
      </c>
      <c r="J19" s="21">
        <f t="shared" si="1"/>
        <v>-0.66666666666666663</v>
      </c>
      <c r="K19" s="21">
        <f t="shared" si="1"/>
        <v>1.8333333333333333</v>
      </c>
      <c r="L19" s="21">
        <f t="shared" si="1"/>
        <v>-0.5</v>
      </c>
      <c r="M19" s="21">
        <f t="shared" si="1"/>
        <v>0.83333333333333337</v>
      </c>
      <c r="N19" s="21">
        <f t="shared" si="1"/>
        <v>-1.6666666666666667</v>
      </c>
      <c r="O19" s="21">
        <f t="shared" si="1"/>
        <v>-1.5</v>
      </c>
      <c r="P19" s="21">
        <f t="shared" si="1"/>
        <v>-1.6666666666666667</v>
      </c>
      <c r="Q19" s="21">
        <f t="shared" si="1"/>
        <v>1.1666666666666667</v>
      </c>
      <c r="R19" s="21">
        <f t="shared" si="1"/>
        <v>-1.6666666666666667</v>
      </c>
      <c r="S19" s="21">
        <f t="shared" si="1"/>
        <v>-2</v>
      </c>
      <c r="T19" s="21">
        <f t="shared" si="1"/>
        <v>-1</v>
      </c>
      <c r="U19" s="21">
        <f t="shared" si="1"/>
        <v>-1.8333333333333333</v>
      </c>
      <c r="V19" s="21">
        <f t="shared" si="1"/>
        <v>-2</v>
      </c>
      <c r="W19" s="21">
        <f t="shared" si="1"/>
        <v>1.3333333333333333</v>
      </c>
      <c r="X19" s="21">
        <f t="shared" si="1"/>
        <v>-1.3333333333333333</v>
      </c>
      <c r="Y19" s="21">
        <f t="shared" si="1"/>
        <v>-2</v>
      </c>
      <c r="AA19"/>
      <c r="AB19"/>
      <c r="AC19"/>
      <c r="AD19"/>
      <c r="AE19"/>
      <c r="AF19"/>
      <c r="AG19"/>
      <c r="AH19"/>
      <c r="AI19"/>
      <c r="AJ19"/>
      <c r="AK19"/>
    </row>
    <row r="20" spans="1:37" s="7" customFormat="1" ht="15" thickBot="1" x14ac:dyDescent="0.35">
      <c r="A20"/>
      <c r="B20" s="27">
        <f>AVERAGE(B19:D19)</f>
        <v>-0.55555555555555547</v>
      </c>
      <c r="C20" s="28"/>
      <c r="D20" s="29"/>
      <c r="E20" s="27">
        <f>AVERAGE(E19:J19)</f>
        <v>-0.16666666666666666</v>
      </c>
      <c r="F20" s="28"/>
      <c r="G20" s="28"/>
      <c r="H20" s="28"/>
      <c r="I20" s="28"/>
      <c r="J20" s="29"/>
      <c r="K20" s="27">
        <f>AVERAGE(K19:M19)</f>
        <v>0.72222222222222221</v>
      </c>
      <c r="L20" s="28"/>
      <c r="M20" s="29"/>
      <c r="N20" s="27">
        <f>AVERAGE(N19:P19)</f>
        <v>-1.6111111111111114</v>
      </c>
      <c r="O20" s="28"/>
      <c r="P20" s="29"/>
      <c r="Q20" s="27">
        <f>AVERAGE(Q19:V19)</f>
        <v>-1.2222222222222221</v>
      </c>
      <c r="R20" s="28"/>
      <c r="S20" s="28"/>
      <c r="T20" s="28"/>
      <c r="U20" s="28"/>
      <c r="V20" s="29"/>
      <c r="W20" s="27">
        <f>AVERAGE(W19:Y19)</f>
        <v>-0.66666666666666663</v>
      </c>
      <c r="X20" s="28"/>
      <c r="Y20" s="29"/>
      <c r="AA20"/>
      <c r="AB20"/>
      <c r="AC20"/>
      <c r="AD20"/>
      <c r="AE20"/>
      <c r="AF20"/>
      <c r="AG20"/>
      <c r="AH20"/>
      <c r="AI20"/>
      <c r="AJ20"/>
      <c r="AK20"/>
    </row>
    <row r="21" spans="1:37" s="7" customFormat="1" ht="15" thickBot="1" x14ac:dyDescent="0.35">
      <c r="A21"/>
      <c r="B21" s="30">
        <f>AVERAGE(B20:M20)</f>
        <v>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0">
        <f>AVERAGE(N20:Y20)</f>
        <v>-1.1666666666666667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2"/>
      <c r="AA21"/>
      <c r="AB21"/>
      <c r="AC21"/>
      <c r="AD21"/>
      <c r="AE21"/>
      <c r="AF21"/>
      <c r="AG21"/>
      <c r="AH21"/>
      <c r="AI21"/>
      <c r="AJ21"/>
      <c r="AK21"/>
    </row>
    <row r="22" spans="1:37" s="7" customFormat="1" ht="15" thickBot="1" x14ac:dyDescent="0.35">
      <c r="A22"/>
      <c r="B22" s="30">
        <f>AVERAGE(B21:Y21)</f>
        <v>-0.58333333333333337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2"/>
      <c r="AA22"/>
      <c r="AB22"/>
      <c r="AC22"/>
      <c r="AD22"/>
      <c r="AE22"/>
      <c r="AF22"/>
      <c r="AG22"/>
      <c r="AH22"/>
      <c r="AI22"/>
      <c r="AJ22"/>
      <c r="AK22"/>
    </row>
    <row r="23" spans="1:37" s="26" customFormat="1" x14ac:dyDescent="0.3"/>
    <row r="24" spans="1:37" s="26" customFormat="1" x14ac:dyDescent="0.3"/>
    <row r="25" spans="1:37" s="26" customFormat="1" x14ac:dyDescent="0.3"/>
    <row r="26" spans="1:37" s="26" customFormat="1" x14ac:dyDescent="0.3"/>
    <row r="27" spans="1:37" s="26" customFormat="1" x14ac:dyDescent="0.3"/>
    <row r="28" spans="1:37" s="26" customFormat="1" x14ac:dyDescent="0.3"/>
    <row r="29" spans="1:37" s="26" customFormat="1" x14ac:dyDescent="0.3"/>
    <row r="30" spans="1:37" s="26" customFormat="1" x14ac:dyDescent="0.3"/>
    <row r="31" spans="1:37" s="26" customFormat="1" x14ac:dyDescent="0.3"/>
    <row r="32" spans="1:37" s="26" customFormat="1" x14ac:dyDescent="0.3"/>
    <row r="33" s="26" customFormat="1" x14ac:dyDescent="0.3"/>
    <row r="34" s="26" customFormat="1" x14ac:dyDescent="0.3"/>
    <row r="35" s="26" customFormat="1" x14ac:dyDescent="0.3"/>
    <row r="36" s="26" customFormat="1" x14ac:dyDescent="0.3"/>
    <row r="37" s="26" customFormat="1" x14ac:dyDescent="0.3"/>
    <row r="38" s="26" customFormat="1" x14ac:dyDescent="0.3"/>
    <row r="39" s="26" customFormat="1" x14ac:dyDescent="0.3"/>
    <row r="40" s="26" customFormat="1" x14ac:dyDescent="0.3"/>
    <row r="41" s="26" customFormat="1" x14ac:dyDescent="0.3"/>
    <row r="42" s="26" customFormat="1" x14ac:dyDescent="0.3"/>
    <row r="43" s="26" customFormat="1" x14ac:dyDescent="0.3"/>
    <row r="44" s="26" customFormat="1" x14ac:dyDescent="0.3"/>
    <row r="45" s="26" customFormat="1" x14ac:dyDescent="0.3"/>
    <row r="46" s="26" customFormat="1" x14ac:dyDescent="0.3"/>
    <row r="47" s="26" customFormat="1" x14ac:dyDescent="0.3"/>
    <row r="48" s="26" customFormat="1" x14ac:dyDescent="0.3"/>
    <row r="49" s="26" customFormat="1" x14ac:dyDescent="0.3"/>
    <row r="50" s="26" customFormat="1" x14ac:dyDescent="0.3"/>
    <row r="51" s="26" customFormat="1" x14ac:dyDescent="0.3"/>
    <row r="52" s="26" customFormat="1" x14ac:dyDescent="0.3"/>
    <row r="53" s="26" customFormat="1" x14ac:dyDescent="0.3"/>
    <row r="54" s="26" customFormat="1" x14ac:dyDescent="0.3"/>
    <row r="55" s="26" customFormat="1" x14ac:dyDescent="0.3"/>
    <row r="56" s="26" customFormat="1" x14ac:dyDescent="0.3"/>
    <row r="57" s="26" customFormat="1" x14ac:dyDescent="0.3"/>
    <row r="58" s="26" customFormat="1" x14ac:dyDescent="0.3"/>
    <row r="59" s="26" customFormat="1" x14ac:dyDescent="0.3"/>
    <row r="60" s="26" customFormat="1" x14ac:dyDescent="0.3"/>
    <row r="61" s="26" customFormat="1" x14ac:dyDescent="0.3"/>
    <row r="62" s="26" customFormat="1" x14ac:dyDescent="0.3"/>
    <row r="63" s="26" customFormat="1" x14ac:dyDescent="0.3"/>
    <row r="64" s="26" customFormat="1" x14ac:dyDescent="0.3"/>
    <row r="65" s="26" customFormat="1" x14ac:dyDescent="0.3"/>
    <row r="66" s="26" customFormat="1" x14ac:dyDescent="0.3"/>
    <row r="67" s="26" customFormat="1" x14ac:dyDescent="0.3"/>
    <row r="68" s="26" customFormat="1" x14ac:dyDescent="0.3"/>
    <row r="69" s="26" customFormat="1" x14ac:dyDescent="0.3"/>
    <row r="70" s="26" customFormat="1" x14ac:dyDescent="0.3"/>
    <row r="71" s="26" customFormat="1" x14ac:dyDescent="0.3"/>
    <row r="72" s="26" customFormat="1" x14ac:dyDescent="0.3"/>
    <row r="73" s="26" customFormat="1" x14ac:dyDescent="0.3"/>
    <row r="74" s="26" customFormat="1" x14ac:dyDescent="0.3"/>
    <row r="75" s="26" customFormat="1" x14ac:dyDescent="0.3"/>
    <row r="76" s="26" customFormat="1" x14ac:dyDescent="0.3"/>
  </sheetData>
  <mergeCells count="25">
    <mergeCell ref="B21:M21"/>
    <mergeCell ref="N21:Y21"/>
    <mergeCell ref="B22:Y22"/>
    <mergeCell ref="A23:XFD76"/>
    <mergeCell ref="B20:D20"/>
    <mergeCell ref="E20:J20"/>
    <mergeCell ref="K20:M20"/>
    <mergeCell ref="N20:P20"/>
    <mergeCell ref="Q20:V20"/>
    <mergeCell ref="W20:Y20"/>
    <mergeCell ref="B8:M8"/>
    <mergeCell ref="N8:Y8"/>
    <mergeCell ref="B9:Y9"/>
    <mergeCell ref="B10:Y13"/>
    <mergeCell ref="B14:M14"/>
    <mergeCell ref="N14:Y14"/>
    <mergeCell ref="B1:M1"/>
    <mergeCell ref="N1:Y1"/>
    <mergeCell ref="Z1:AJ1"/>
    <mergeCell ref="B7:D7"/>
    <mergeCell ref="E7:J7"/>
    <mergeCell ref="K7:M7"/>
    <mergeCell ref="N7:P7"/>
    <mergeCell ref="Q7:V7"/>
    <mergeCell ref="W7:Y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Объективная оценка</vt:lpstr>
      <vt:lpstr>Первичная субъективная оценка</vt:lpstr>
      <vt:lpstr>Повторная субъективная оценка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2026-04-27T16:33:11Z</dcterms:modified>
</cp:coreProperties>
</file>